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urement (P2P)" sheetId="1" r:id="rId5"/>
    <sheet state="visible" name="Sales (O2C)" sheetId="2" r:id="rId6"/>
    <sheet state="visible" name="Inventory" sheetId="3" r:id="rId7"/>
  </sheets>
  <definedNames/>
  <calcPr/>
</workbook>
</file>

<file path=xl/sharedStrings.xml><?xml version="1.0" encoding="utf-8"?>
<sst xmlns="http://schemas.openxmlformats.org/spreadsheetml/2006/main" count="61" uniqueCount="44">
  <si>
    <t>PR_ID</t>
  </si>
  <si>
    <t>PO_ID</t>
  </si>
  <si>
    <t>Vendor</t>
  </si>
  <si>
    <t>Material</t>
  </si>
  <si>
    <t>Quantity</t>
  </si>
  <si>
    <t>Unit Price</t>
  </si>
  <si>
    <t>Total Cost</t>
  </si>
  <si>
    <t>Goods Received</t>
  </si>
  <si>
    <t>Payment Status</t>
  </si>
  <si>
    <t>Procurement Status</t>
  </si>
  <si>
    <t>PR001</t>
  </si>
  <si>
    <t>PO001</t>
  </si>
  <si>
    <t>ABC Supplier</t>
  </si>
  <si>
    <t>Laptop</t>
  </si>
  <si>
    <t>Yes</t>
  </si>
  <si>
    <t>Paid</t>
  </si>
  <si>
    <t>PR002</t>
  </si>
  <si>
    <t>PO002</t>
  </si>
  <si>
    <t>XYZ Supplier</t>
  </si>
  <si>
    <t>Mouse</t>
  </si>
  <si>
    <t>Unpaid</t>
  </si>
  <si>
    <t>PR003</t>
  </si>
  <si>
    <t>PO003</t>
  </si>
  <si>
    <t>Keyboard</t>
  </si>
  <si>
    <t>No</t>
  </si>
  <si>
    <t>SO_ID</t>
  </si>
  <si>
    <t>Customer</t>
  </si>
  <si>
    <t>Product</t>
  </si>
  <si>
    <t>Revenue</t>
  </si>
  <si>
    <t>Delivery Status</t>
  </si>
  <si>
    <t>Sales Status</t>
  </si>
  <si>
    <t>SO001</t>
  </si>
  <si>
    <t>Rahim</t>
  </si>
  <si>
    <t>Delivered</t>
  </si>
  <si>
    <t>SO002</t>
  </si>
  <si>
    <t>Karim</t>
  </si>
  <si>
    <t>SO003</t>
  </si>
  <si>
    <t>Hasan</t>
  </si>
  <si>
    <t>Pending</t>
  </si>
  <si>
    <t>Opening Stock</t>
  </si>
  <si>
    <t>Purchased</t>
  </si>
  <si>
    <t>Sold</t>
  </si>
  <si>
    <t>Closing Stock</t>
  </si>
  <si>
    <t>Stock 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</si>
</sst>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1" numFmtId="0" xfId="0" applyFill="1" applyFont="1"/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  <col customWidth="1" min="4" max="4" width="8.5"/>
    <col customWidth="1" min="5" max="5" width="8.0"/>
    <col customWidth="1" min="6" max="6" width="9.25"/>
    <col customWidth="1" min="7" max="7" width="8.63"/>
    <col customWidth="1" min="8" max="8" width="14.38"/>
    <col customWidth="1" min="10" max="10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5.0</v>
      </c>
      <c r="F2" s="2">
        <v>500.0</v>
      </c>
      <c r="G2" s="2">
        <f t="shared" ref="G2:G4" si="1">E2*F2</f>
        <v>2500</v>
      </c>
      <c r="H2" s="2" t="s">
        <v>14</v>
      </c>
      <c r="I2" s="2" t="s">
        <v>15</v>
      </c>
      <c r="J2" s="3" t="str">
        <f t="shared" ref="J2:J4" si="2">IF(AND(H2="Yes", I2="Paid"), "Completed", IF(H2="Yes", "In Process", "Pending"))</f>
        <v>Completed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>
        <v>20.0</v>
      </c>
      <c r="F3" s="2">
        <v>10.0</v>
      </c>
      <c r="G3" s="2">
        <f t="shared" si="1"/>
        <v>200</v>
      </c>
      <c r="H3" s="2" t="s">
        <v>14</v>
      </c>
      <c r="I3" s="2" t="s">
        <v>20</v>
      </c>
      <c r="J3" s="3" t="str">
        <f t="shared" si="2"/>
        <v>In Process</v>
      </c>
    </row>
    <row r="4">
      <c r="A4" s="2" t="s">
        <v>21</v>
      </c>
      <c r="B4" s="2" t="s">
        <v>22</v>
      </c>
      <c r="C4" s="2" t="s">
        <v>12</v>
      </c>
      <c r="D4" s="2" t="s">
        <v>23</v>
      </c>
      <c r="E4" s="2">
        <v>10.0</v>
      </c>
      <c r="F4" s="2">
        <v>20.0</v>
      </c>
      <c r="G4" s="2">
        <f t="shared" si="1"/>
        <v>200</v>
      </c>
      <c r="H4" s="2" t="s">
        <v>24</v>
      </c>
      <c r="I4" s="2" t="s">
        <v>20</v>
      </c>
      <c r="J4" s="3" t="str">
        <f t="shared" si="2"/>
        <v>Pending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8.5"/>
    <col customWidth="1" min="3" max="3" width="8.63"/>
    <col customWidth="1" min="4" max="4" width="8.0"/>
    <col customWidth="1" min="5" max="5" width="8.75"/>
    <col customWidth="1" min="6" max="6" width="8.0"/>
  </cols>
  <sheetData>
    <row r="1">
      <c r="A1" s="1" t="s">
        <v>25</v>
      </c>
      <c r="B1" s="1" t="s">
        <v>26</v>
      </c>
      <c r="C1" s="1" t="s">
        <v>27</v>
      </c>
      <c r="D1" s="1" t="s">
        <v>4</v>
      </c>
      <c r="E1" s="1" t="s">
        <v>5</v>
      </c>
      <c r="F1" s="1" t="s">
        <v>28</v>
      </c>
      <c r="G1" s="1" t="s">
        <v>29</v>
      </c>
      <c r="H1" s="1" t="s">
        <v>8</v>
      </c>
      <c r="I1" s="1" t="s">
        <v>30</v>
      </c>
    </row>
    <row r="2">
      <c r="A2" s="2" t="s">
        <v>31</v>
      </c>
      <c r="B2" s="2" t="s">
        <v>32</v>
      </c>
      <c r="C2" s="2" t="s">
        <v>13</v>
      </c>
      <c r="D2" s="2">
        <v>2.0</v>
      </c>
      <c r="E2" s="2">
        <v>700.0</v>
      </c>
      <c r="F2" s="2">
        <f t="shared" ref="F2:F4" si="1">D2*E2</f>
        <v>1400</v>
      </c>
      <c r="G2" s="2" t="s">
        <v>33</v>
      </c>
      <c r="H2" s="2" t="s">
        <v>15</v>
      </c>
      <c r="I2" s="3" t="str">
        <f t="shared" ref="I2:I4" si="2">IF(AND(G2="Delivered", H2="Paid"), "Closed", IF(G2="Delivered", "Awaiting Payment", "In Transit"))</f>
        <v>Closed</v>
      </c>
    </row>
    <row r="3">
      <c r="A3" s="2" t="s">
        <v>34</v>
      </c>
      <c r="B3" s="2" t="s">
        <v>35</v>
      </c>
      <c r="C3" s="2" t="s">
        <v>19</v>
      </c>
      <c r="D3" s="2">
        <v>5.0</v>
      </c>
      <c r="E3" s="2">
        <v>15.0</v>
      </c>
      <c r="F3" s="2">
        <f t="shared" si="1"/>
        <v>75</v>
      </c>
      <c r="G3" s="2" t="s">
        <v>33</v>
      </c>
      <c r="H3" s="2" t="s">
        <v>15</v>
      </c>
      <c r="I3" s="3" t="str">
        <f t="shared" si="2"/>
        <v>Closed</v>
      </c>
    </row>
    <row r="4">
      <c r="A4" s="2" t="s">
        <v>36</v>
      </c>
      <c r="B4" s="2" t="s">
        <v>37</v>
      </c>
      <c r="C4" s="2" t="s">
        <v>23</v>
      </c>
      <c r="D4" s="2">
        <v>3.0</v>
      </c>
      <c r="E4" s="2">
        <v>30.0</v>
      </c>
      <c r="F4" s="2">
        <f t="shared" si="1"/>
        <v>90</v>
      </c>
      <c r="G4" s="2" t="s">
        <v>38</v>
      </c>
      <c r="H4" s="2" t="s">
        <v>20</v>
      </c>
      <c r="I4" s="3" t="str">
        <f t="shared" si="2"/>
        <v>In Transit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3" max="3" width="9.63"/>
    <col customWidth="1" min="4" max="4" width="4.88"/>
    <col customWidth="1" min="5" max="5" width="11.5"/>
    <col customWidth="1" min="6" max="6" width="10.5"/>
  </cols>
  <sheetData>
    <row r="1">
      <c r="A1" s="1" t="s">
        <v>3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>
      <c r="A2" s="2" t="s">
        <v>13</v>
      </c>
      <c r="B2" s="2">
        <v>10.0</v>
      </c>
      <c r="C2" s="2">
        <f>SUMIF('Procurement (P2P)'!D:D, A2, 'Procurement (P2P)'!E:E)</f>
        <v>5</v>
      </c>
      <c r="D2" s="2">
        <f>SUMIF('Sales (O2C)'!C:C, A2, 'Sales (O2C)'!D:D)</f>
        <v>2</v>
      </c>
      <c r="E2" s="3">
        <f t="shared" ref="E2:E4" si="1">B2 + C2 - D2</f>
        <v>13</v>
      </c>
      <c r="F2" s="3" t="str">
        <f t="shared" ref="F2:F4" si="2">IF(E2&lt;5, "Low Stock", "OK")</f>
        <v>OK</v>
      </c>
    </row>
    <row r="3">
      <c r="A3" s="2" t="s">
        <v>19</v>
      </c>
      <c r="B3" s="2">
        <v>50.0</v>
      </c>
      <c r="C3" s="2">
        <f>SUMIF('Procurement (P2P)'!D:D, A3, 'Procurement (P2P)'!E:E)</f>
        <v>20</v>
      </c>
      <c r="D3" s="2">
        <f>SUMIF('Sales (O2C)'!C:C, A3, 'Sales (O2C)'!D:D)</f>
        <v>5</v>
      </c>
      <c r="E3" s="3">
        <f t="shared" si="1"/>
        <v>65</v>
      </c>
      <c r="F3" s="3" t="str">
        <f t="shared" si="2"/>
        <v>OK</v>
      </c>
    </row>
    <row r="4">
      <c r="A4" s="2" t="s">
        <v>23</v>
      </c>
      <c r="B4" s="2">
        <v>30.0</v>
      </c>
      <c r="C4" s="2">
        <f>SUMIF('Procurement (P2P)'!D:D, A4, 'Procurement (P2P)'!E:E)</f>
        <v>10</v>
      </c>
      <c r="D4" s="2">
        <f>SUMIF('Sales (O2C)'!C:C, A4, 'Sales (O2C)'!D:D)</f>
        <v>3</v>
      </c>
      <c r="E4" s="3">
        <f t="shared" si="1"/>
        <v>37</v>
      </c>
      <c r="F4" s="3" t="str">
        <f t="shared" si="2"/>
        <v>OK</v>
      </c>
    </row>
    <row r="5">
      <c r="A5" s="4"/>
      <c r="B5" s="4"/>
      <c r="C5" s="5"/>
      <c r="E5" s="5"/>
    </row>
    <row r="6">
      <c r="A6" s="6"/>
      <c r="B6" s="6"/>
      <c r="C6" s="6"/>
      <c r="D6" s="6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</sheetData>
  <mergeCells count="1">
    <mergeCell ref="C5:D5"/>
  </mergeCells>
  <drawing r:id="rId1"/>
</worksheet>
</file>