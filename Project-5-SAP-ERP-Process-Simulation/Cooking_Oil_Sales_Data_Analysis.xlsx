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sharedStrings.xml><?xml version="1.0" encoding="utf-8"?>
<sst xmlns="http://schemas.openxmlformats.org/spreadsheetml/2006/main" count="39" uniqueCount="16">
  <si>
    <t>Month</t>
  </si>
  <si>
    <t>Product</t>
  </si>
  <si>
    <t>Demand</t>
  </si>
  <si>
    <t>Inventory_On_Hand</t>
  </si>
  <si>
    <t>Orders_Placed</t>
  </si>
  <si>
    <t>Lead_Time_Days</t>
  </si>
  <si>
    <t>Stock_Received</t>
  </si>
  <si>
    <t>Stockout</t>
  </si>
  <si>
    <t>Cooking Oil (1L bottle)</t>
  </si>
  <si>
    <t>Inventory Turnover</t>
  </si>
  <si>
    <t>Fill Rate</t>
  </si>
  <si>
    <t>Total Demand</t>
  </si>
  <si>
    <t>Avg Inventory Turnover</t>
  </si>
  <si>
    <t>Stock-out Rate</t>
  </si>
  <si>
    <t>Avg Lead Time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</si>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</sst>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5658011756795"/>
          <c:y val="0.13311800893985282"/>
          <c:w val="0.85610099564000786"/>
          <c:h val="0.5824548393870122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0">
                  <c:v>1800</c:v>
                </c:pt>
                <c:pt idx="1">
                  <c:v>1780</c:v>
                </c:pt>
                <c:pt idx="2">
                  <c:v>1850</c:v>
                </c:pt>
                <c:pt idx="3">
                  <c:v>1900</c:v>
                </c:pt>
                <c:pt idx="4">
                  <c:v>1960</c:v>
                </c:pt>
                <c:pt idx="5">
                  <c:v>2050</c:v>
                </c:pt>
                <c:pt idx="6">
                  <c:v>2120</c:v>
                </c:pt>
                <c:pt idx="7">
                  <c:v>2070</c:v>
                </c:pt>
                <c:pt idx="8">
                  <c:v>2020</c:v>
                </c:pt>
                <c:pt idx="9">
                  <c:v>2100</c:v>
                </c:pt>
                <c:pt idx="10">
                  <c:v>2250</c:v>
                </c:pt>
                <c:pt idx="11">
                  <c:v>2380</c:v>
                </c:pt>
                <c:pt idx="12">
                  <c:v>1900</c:v>
                </c:pt>
                <c:pt idx="13">
                  <c:v>1860</c:v>
                </c:pt>
                <c:pt idx="14">
                  <c:v>1920</c:v>
                </c:pt>
                <c:pt idx="15">
                  <c:v>1980</c:v>
                </c:pt>
                <c:pt idx="16">
                  <c:v>2050</c:v>
                </c:pt>
                <c:pt idx="17">
                  <c:v>2140</c:v>
                </c:pt>
                <c:pt idx="18">
                  <c:v>2200</c:v>
                </c:pt>
                <c:pt idx="19">
                  <c:v>2160</c:v>
                </c:pt>
                <c:pt idx="20">
                  <c:v>2110</c:v>
                </c:pt>
                <c:pt idx="21">
                  <c:v>2200</c:v>
                </c:pt>
                <c:pt idx="22">
                  <c:v>2360</c:v>
                </c:pt>
                <c:pt idx="23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DD-4689-AE6C-120E6EF1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339072"/>
        <c:axId val="525336776"/>
      </c:lineChart>
      <c:dateAx>
        <c:axId val="52533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36776"/>
        <c:crosses val="autoZero"/>
        <c:auto val="0"/>
        <c:lblOffset val="100"/>
        <c:baseTimeUnit val="months"/>
      </c:dateAx>
      <c:valAx>
        <c:axId val="525336776"/>
        <c:scaling>
          <c:orientation val="minMax"/>
          <c:max val="2600"/>
          <c:min val="1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Inventory Efficiency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96430666708784"/>
          <c:y val="0.11829853101468731"/>
          <c:w val="0.85800588949930734"/>
          <c:h val="0.60129421589434684"/>
        </c:manualLayout>
      </c:layout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Inventory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Sheet1!$A$1:$A$25</c15:sqref>
                  </c15:fullRef>
                </c:ext>
              </c:extLst>
              <c:f>Sheet1!$A$2:$A$25</c:f>
              <c:strCache>
                <c:ptCount val="24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Sheet1!$I$2:$I$25</c15:sqref>
                  </c15:fullRef>
                </c:ext>
              </c:extLst>
              <c:f>Sheet1!$I$3:$I$25</c:f>
              <c:numCache>
                <c:formatCode>0.00</c:formatCode>
                <c:ptCount val="23"/>
                <c:pt idx="0">
                  <c:v>2.870967741935484</c:v>
                </c:pt>
                <c:pt idx="1">
                  <c:v>3.0833333333333335</c:v>
                </c:pt>
                <c:pt idx="2">
                  <c:v>3.2758620689655173</c:v>
                </c:pt>
                <c:pt idx="3">
                  <c:v>3.6296296296296298</c:v>
                </c:pt>
                <c:pt idx="4">
                  <c:v>4.0999999999999996</c:v>
                </c:pt>
                <c:pt idx="5">
                  <c:v>4.6086956521739131</c:v>
                </c:pt>
                <c:pt idx="6">
                  <c:v>4.3125</c:v>
                </c:pt>
                <c:pt idx="7">
                  <c:v>4.04</c:v>
                </c:pt>
                <c:pt idx="8">
                  <c:v>4.0384615384615383</c:v>
                </c:pt>
                <c:pt idx="9">
                  <c:v>4.7872340425531918</c:v>
                </c:pt>
                <c:pt idx="10">
                  <c:v>5.666666666666667</c:v>
                </c:pt>
                <c:pt idx="11">
                  <c:v>2.7142857142857144</c:v>
                </c:pt>
                <c:pt idx="12">
                  <c:v>2.7352941176470589</c:v>
                </c:pt>
                <c:pt idx="13">
                  <c:v>2.953846153846154</c:v>
                </c:pt>
                <c:pt idx="14">
                  <c:v>3.193548387096774</c:v>
                </c:pt>
                <c:pt idx="15">
                  <c:v>3.5344827586206895</c:v>
                </c:pt>
                <c:pt idx="16">
                  <c:v>3.9629629629629628</c:v>
                </c:pt>
                <c:pt idx="17">
                  <c:v>4.4000000000000004</c:v>
                </c:pt>
                <c:pt idx="18">
                  <c:v>4.1538461538461542</c:v>
                </c:pt>
                <c:pt idx="19">
                  <c:v>3.9074074074074074</c:v>
                </c:pt>
                <c:pt idx="20">
                  <c:v>4.4000000000000004</c:v>
                </c:pt>
                <c:pt idx="21">
                  <c:v>5.1304347826086953</c:v>
                </c:pt>
                <c:pt idx="22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87-43AB-B365-03945494E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51240"/>
        <c:axId val="532052880"/>
      </c:lineChart>
      <c:dateAx>
        <c:axId val="53205124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52880"/>
        <c:crosses val="autoZero"/>
        <c:auto val="1"/>
        <c:lblOffset val="100"/>
        <c:baseTimeUnit val="months"/>
      </c:dateAx>
      <c:valAx>
        <c:axId val="5320528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Inventory Turnover</a:t>
                </a:r>
              </a:p>
            </c:rich>
          </c:tx>
          <c:layout>
            <c:manualLayout>
              <c:xMode val="edge"/>
              <c:yMode val="edge"/>
              <c:x val="2.9990166638656907E-2"/>
              <c:y val="0.32263925448351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5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Supplier Lead Time</a:t>
            </a:r>
            <a:endParaRPr lang="en-US"/>
          </a:p>
        </c:rich>
      </c:tx>
      <c:layout>
        <c:manualLayout>
          <c:xMode val="edge"/>
          <c:yMode val="edge"/>
          <c:x val="0.39373311672480638"/>
          <c:y val="1.8402325309942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Sheet1!$A$1:$A$25</c15:sqref>
                  </c15:fullRef>
                </c:ext>
              </c:extLst>
              <c:f>Sheet1!$A$2:$A$25</c:f>
              <c:strCache>
                <c:ptCount val="24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Sheet1!$F$2:$F$25</c15:sqref>
                  </c15:fullRef>
                </c:ext>
              </c:extLst>
              <c:f>Sheet1!$F$3:$F$25</c:f>
              <c:numCache>
                <c:formatCode>General</c:formatCode>
                <c:ptCount val="2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8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E4-4604-AEEE-B5684E272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04544"/>
        <c:axId val="537702248"/>
      </c:lineChart>
      <c:dateAx>
        <c:axId val="53770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02248"/>
        <c:crosses val="autoZero"/>
        <c:auto val="1"/>
        <c:lblOffset val="100"/>
        <c:baseTimeUnit val="months"/>
      </c:dateAx>
      <c:valAx>
        <c:axId val="53770224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Lead Time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Stock-out Occurrence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5241427247278"/>
          <c:y val="0.25635330400117312"/>
          <c:w val="0.87745331728541986"/>
          <c:h val="0.41322053417294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Stockout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Sheet1!$A$2:$A$25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Sheet1!$H$2:$H$25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D6-4904-9B14-0AEEB0455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712744"/>
        <c:axId val="537713072"/>
      </c:barChart>
      <c:dateAx>
        <c:axId val="537712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13072"/>
        <c:crosses val="autoZero"/>
        <c:auto val="1"/>
        <c:lblOffset val="100"/>
        <c:baseTimeUnit val="months"/>
      </c:dateAx>
      <c:valAx>
        <c:axId val="537713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Stockout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12744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33</xdr:row>
      <xdr:rowOff>95250</xdr:rowOff>
    </xdr:from>
    <xdr:to>
      <xdr:col>5</xdr:col>
      <xdr:colOff>960437</xdr:colOff>
      <xdr:row>52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76556</xdr:colOff>
      <xdr:row>34</xdr:row>
      <xdr:rowOff>88592</xdr:rowOff>
    </xdr:from>
    <xdr:to>
      <xdr:col>11</xdr:col>
      <xdr:colOff>514400</xdr:colOff>
      <xdr:row>50</xdr:row>
      <xdr:rowOff>98016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182767</xdr:rowOff>
    </xdr:from>
    <xdr:to>
      <xdr:col>5</xdr:col>
      <xdr:colOff>763546</xdr:colOff>
      <xdr:row>69</xdr:row>
      <xdr:rowOff>79849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152633</xdr:colOff>
      <xdr:row>56</xdr:row>
      <xdr:rowOff>113771</xdr:rowOff>
    </xdr:from>
    <xdr:to>
      <xdr:col>11</xdr:col>
      <xdr:colOff>305198</xdr:colOff>
      <xdr:row>65</xdr:row>
      <xdr:rowOff>165478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Normal="100" workbookViewId="0">
      <selection activeCell="K13" sqref="K13"/>
    </sheetView>
  </sheetViews>
  <sheetFormatPr defaultRowHeight="15" x14ac:dyDescent="0.25"/>
  <cols>
    <col min="1" max="1" width="7.7109375" bestFit="1" customWidth="1"/>
    <col min="2" max="2" width="21" bestFit="1" customWidth="1"/>
    <col min="3" max="3" width="9.140625" bestFit="1" customWidth="1"/>
    <col min="4" max="4" width="21.140625" bestFit="1" customWidth="1"/>
    <col min="5" max="5" width="15.28515625" bestFit="1" customWidth="1"/>
    <col min="6" max="6" width="17.42578125" bestFit="1" customWidth="1"/>
    <col min="7" max="7" width="16.42578125" bestFit="1" customWidth="1"/>
    <col min="8" max="8" width="9.85546875" bestFit="1" customWidth="1"/>
    <col min="9" max="9" width="20.42578125" bestFit="1" customWidth="1"/>
    <col min="11" max="11" width="22.5703125" customWidth="1"/>
  </cols>
  <sheetData>
    <row r="1" spans="1:12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9</v>
      </c>
      <c r="J1" s="5" t="s">
        <v>10</v>
      </c>
      <c r="K1" s="6" t="s">
        <v>15</v>
      </c>
    </row>
    <row r="2" spans="1:12" x14ac:dyDescent="0.25">
      <c r="A2" s="2">
        <v>45292</v>
      </c>
      <c r="B2" s="1" t="s">
        <v>8</v>
      </c>
      <c r="C2" s="1">
        <v>1800</v>
      </c>
      <c r="D2" s="1">
        <v>650</v>
      </c>
      <c r="E2" s="1">
        <v>2000</v>
      </c>
      <c r="F2" s="1">
        <v>6</v>
      </c>
      <c r="G2" s="1">
        <v>1950</v>
      </c>
      <c r="H2" s="1">
        <v>0</v>
      </c>
      <c r="I2" s="4">
        <f>C2/D2</f>
        <v>2.7692307692307692</v>
      </c>
      <c r="J2" s="4">
        <f>G2/C2</f>
        <v>1.0833333333333333</v>
      </c>
      <c r="K2" s="7" t="s">
        <v>11</v>
      </c>
      <c r="L2">
        <f xml:space="preserve"> SUM(C:C)</f>
        <v>49660</v>
      </c>
    </row>
    <row r="3" spans="1:12" x14ac:dyDescent="0.25">
      <c r="A3" s="2">
        <v>45323</v>
      </c>
      <c r="B3" s="1" t="s">
        <v>8</v>
      </c>
      <c r="C3" s="1">
        <v>1780</v>
      </c>
      <c r="D3" s="1">
        <v>620</v>
      </c>
      <c r="E3" s="1">
        <v>1950</v>
      </c>
      <c r="F3" s="1">
        <v>5</v>
      </c>
      <c r="G3" s="1">
        <v>1920</v>
      </c>
      <c r="H3" s="1">
        <v>0</v>
      </c>
      <c r="I3" s="4">
        <f t="shared" ref="I3:I25" si="0">C3/D3</f>
        <v>2.870967741935484</v>
      </c>
      <c r="J3" s="4">
        <f t="shared" ref="J3:J25" si="1">G3/C3</f>
        <v>1.0786516853932584</v>
      </c>
      <c r="K3" s="7" t="s">
        <v>12</v>
      </c>
      <c r="L3">
        <f xml:space="preserve"> AVERAGE(I:I)</f>
        <v>3.9382787450529868</v>
      </c>
    </row>
    <row r="4" spans="1:12" x14ac:dyDescent="0.25">
      <c r="A4" s="2">
        <v>45352</v>
      </c>
      <c r="B4" s="1" t="s">
        <v>8</v>
      </c>
      <c r="C4" s="1">
        <v>1850</v>
      </c>
      <c r="D4" s="1">
        <v>600</v>
      </c>
      <c r="E4" s="1">
        <v>2000</v>
      </c>
      <c r="F4" s="1">
        <v>6</v>
      </c>
      <c r="G4" s="1">
        <v>1980</v>
      </c>
      <c r="H4" s="1">
        <v>0</v>
      </c>
      <c r="I4" s="4">
        <f t="shared" si="0"/>
        <v>3.0833333333333335</v>
      </c>
      <c r="J4" s="4">
        <f t="shared" si="1"/>
        <v>1.0702702702702702</v>
      </c>
      <c r="K4" s="7" t="s">
        <v>13</v>
      </c>
      <c r="L4">
        <f xml:space="preserve"> AVERAGE(H:H)</f>
        <v>0.25</v>
      </c>
    </row>
    <row r="5" spans="1:12" x14ac:dyDescent="0.25">
      <c r="A5" s="2">
        <v>45383</v>
      </c>
      <c r="B5" s="1" t="s">
        <v>8</v>
      </c>
      <c r="C5" s="1">
        <v>1900</v>
      </c>
      <c r="D5" s="1">
        <v>580</v>
      </c>
      <c r="E5" s="1">
        <v>2050</v>
      </c>
      <c r="F5" s="1">
        <v>7</v>
      </c>
      <c r="G5" s="1">
        <v>2000</v>
      </c>
      <c r="H5" s="1">
        <v>0</v>
      </c>
      <c r="I5" s="4">
        <f t="shared" si="0"/>
        <v>3.2758620689655173</v>
      </c>
      <c r="J5" s="4">
        <f t="shared" si="1"/>
        <v>1.0526315789473684</v>
      </c>
      <c r="K5" s="7" t="s">
        <v>14</v>
      </c>
      <c r="L5">
        <f xml:space="preserve"> AVERAGE(F:F)</f>
        <v>6.583333333333333</v>
      </c>
    </row>
    <row r="6" spans="1:12" x14ac:dyDescent="0.25">
      <c r="A6" s="2">
        <v>45413</v>
      </c>
      <c r="B6" s="1" t="s">
        <v>8</v>
      </c>
      <c r="C6" s="1">
        <v>1960</v>
      </c>
      <c r="D6" s="1">
        <v>540</v>
      </c>
      <c r="E6" s="1">
        <v>2100</v>
      </c>
      <c r="F6" s="1">
        <v>6</v>
      </c>
      <c r="G6" s="1">
        <v>2050</v>
      </c>
      <c r="H6" s="1">
        <v>0</v>
      </c>
      <c r="I6" s="4">
        <f t="shared" si="0"/>
        <v>3.6296296296296298</v>
      </c>
      <c r="J6" s="4">
        <f t="shared" si="1"/>
        <v>1.0459183673469388</v>
      </c>
    </row>
    <row r="7" spans="1:12" x14ac:dyDescent="0.25">
      <c r="A7" s="2">
        <v>45444</v>
      </c>
      <c r="B7" s="1" t="s">
        <v>8</v>
      </c>
      <c r="C7" s="1">
        <v>2050</v>
      </c>
      <c r="D7" s="1">
        <v>500</v>
      </c>
      <c r="E7" s="1">
        <v>2200</v>
      </c>
      <c r="F7" s="1">
        <v>8</v>
      </c>
      <c r="G7" s="1">
        <v>2120</v>
      </c>
      <c r="H7" s="1">
        <v>1</v>
      </c>
      <c r="I7" s="4">
        <f t="shared" si="0"/>
        <v>4.0999999999999996</v>
      </c>
      <c r="J7" s="4">
        <f t="shared" si="1"/>
        <v>1.0341463414634147</v>
      </c>
    </row>
    <row r="8" spans="1:12" x14ac:dyDescent="0.25">
      <c r="A8" s="2">
        <v>45474</v>
      </c>
      <c r="B8" s="1" t="s">
        <v>8</v>
      </c>
      <c r="C8" s="1">
        <v>2120</v>
      </c>
      <c r="D8" s="1">
        <v>460</v>
      </c>
      <c r="E8" s="1">
        <v>2250</v>
      </c>
      <c r="F8" s="1">
        <v>7</v>
      </c>
      <c r="G8" s="1">
        <v>2200</v>
      </c>
      <c r="H8" s="1">
        <v>1</v>
      </c>
      <c r="I8" s="4">
        <f t="shared" si="0"/>
        <v>4.6086956521739131</v>
      </c>
      <c r="J8" s="4">
        <f t="shared" si="1"/>
        <v>1.0377358490566038</v>
      </c>
    </row>
    <row r="9" spans="1:12" x14ac:dyDescent="0.25">
      <c r="A9" s="2">
        <v>45505</v>
      </c>
      <c r="B9" s="1" t="s">
        <v>8</v>
      </c>
      <c r="C9" s="1">
        <v>2070</v>
      </c>
      <c r="D9" s="1">
        <v>480</v>
      </c>
      <c r="E9" s="1">
        <v>2200</v>
      </c>
      <c r="F9" s="1">
        <v>6</v>
      </c>
      <c r="G9" s="1">
        <v>2180</v>
      </c>
      <c r="H9" s="1">
        <v>0</v>
      </c>
      <c r="I9" s="4">
        <f t="shared" si="0"/>
        <v>4.3125</v>
      </c>
      <c r="J9" s="4">
        <f t="shared" si="1"/>
        <v>1.0531400966183575</v>
      </c>
    </row>
    <row r="10" spans="1:12" x14ac:dyDescent="0.25">
      <c r="A10" s="2">
        <v>45536</v>
      </c>
      <c r="B10" s="1" t="s">
        <v>8</v>
      </c>
      <c r="C10" s="1">
        <v>2020</v>
      </c>
      <c r="D10" s="1">
        <v>500</v>
      </c>
      <c r="E10" s="1">
        <v>2150</v>
      </c>
      <c r="F10" s="1">
        <v>5</v>
      </c>
      <c r="G10" s="1">
        <v>2100</v>
      </c>
      <c r="H10" s="1">
        <v>0</v>
      </c>
      <c r="I10" s="4">
        <f t="shared" si="0"/>
        <v>4.04</v>
      </c>
      <c r="J10" s="4">
        <f t="shared" si="1"/>
        <v>1.0396039603960396</v>
      </c>
    </row>
    <row r="11" spans="1:12" x14ac:dyDescent="0.25">
      <c r="A11" s="2">
        <v>45566</v>
      </c>
      <c r="B11" s="1" t="s">
        <v>8</v>
      </c>
      <c r="C11" s="1">
        <v>2100</v>
      </c>
      <c r="D11" s="1">
        <v>520</v>
      </c>
      <c r="E11" s="1">
        <v>2250</v>
      </c>
      <c r="F11" s="1">
        <v>6</v>
      </c>
      <c r="G11" s="1">
        <v>2200</v>
      </c>
      <c r="H11" s="1">
        <v>0</v>
      </c>
      <c r="I11" s="4">
        <f t="shared" si="0"/>
        <v>4.0384615384615383</v>
      </c>
      <c r="J11" s="4">
        <f t="shared" si="1"/>
        <v>1.0476190476190477</v>
      </c>
    </row>
    <row r="12" spans="1:12" x14ac:dyDescent="0.25">
      <c r="A12" s="2">
        <v>45597</v>
      </c>
      <c r="B12" s="1" t="s">
        <v>8</v>
      </c>
      <c r="C12" s="1">
        <v>2250</v>
      </c>
      <c r="D12" s="1">
        <v>470</v>
      </c>
      <c r="E12" s="1">
        <v>2400</v>
      </c>
      <c r="F12" s="1">
        <v>9</v>
      </c>
      <c r="G12" s="1">
        <v>2300</v>
      </c>
      <c r="H12" s="1">
        <v>1</v>
      </c>
      <c r="I12" s="4">
        <f t="shared" si="0"/>
        <v>4.7872340425531918</v>
      </c>
      <c r="J12" s="4">
        <f t="shared" si="1"/>
        <v>1.0222222222222221</v>
      </c>
    </row>
    <row r="13" spans="1:12" x14ac:dyDescent="0.25">
      <c r="A13" s="2">
        <v>45627</v>
      </c>
      <c r="B13" s="1" t="s">
        <v>8</v>
      </c>
      <c r="C13" s="1">
        <v>2380</v>
      </c>
      <c r="D13" s="1">
        <v>420</v>
      </c>
      <c r="E13" s="1">
        <v>2500</v>
      </c>
      <c r="F13" s="1">
        <v>8</v>
      </c>
      <c r="G13" s="1">
        <v>2400</v>
      </c>
      <c r="H13" s="1">
        <v>1</v>
      </c>
      <c r="I13" s="4">
        <f t="shared" si="0"/>
        <v>5.666666666666667</v>
      </c>
      <c r="J13" s="4">
        <f t="shared" si="1"/>
        <v>1.0084033613445378</v>
      </c>
    </row>
    <row r="14" spans="1:12" x14ac:dyDescent="0.25">
      <c r="A14" s="2">
        <v>45658</v>
      </c>
      <c r="B14" s="1" t="s">
        <v>8</v>
      </c>
      <c r="C14" s="1">
        <v>1900</v>
      </c>
      <c r="D14" s="1">
        <v>700</v>
      </c>
      <c r="E14" s="1">
        <v>2050</v>
      </c>
      <c r="F14" s="1">
        <v>6</v>
      </c>
      <c r="G14" s="1">
        <v>2000</v>
      </c>
      <c r="H14" s="1">
        <v>0</v>
      </c>
      <c r="I14" s="4">
        <f t="shared" si="0"/>
        <v>2.7142857142857144</v>
      </c>
      <c r="J14" s="4">
        <f t="shared" si="1"/>
        <v>1.0526315789473684</v>
      </c>
    </row>
    <row r="15" spans="1:12" x14ac:dyDescent="0.25">
      <c r="A15" s="2">
        <v>45689</v>
      </c>
      <c r="B15" s="1" t="s">
        <v>8</v>
      </c>
      <c r="C15" s="1">
        <v>1860</v>
      </c>
      <c r="D15" s="1">
        <v>680</v>
      </c>
      <c r="E15" s="1">
        <v>2000</v>
      </c>
      <c r="F15" s="1">
        <v>5</v>
      </c>
      <c r="G15" s="1">
        <v>1960</v>
      </c>
      <c r="H15" s="1">
        <v>0</v>
      </c>
      <c r="I15" s="4">
        <f t="shared" si="0"/>
        <v>2.7352941176470589</v>
      </c>
      <c r="J15" s="4">
        <f t="shared" si="1"/>
        <v>1.053763440860215</v>
      </c>
    </row>
    <row r="16" spans="1:12" x14ac:dyDescent="0.25">
      <c r="A16" s="2">
        <v>45717</v>
      </c>
      <c r="B16" s="1" t="s">
        <v>8</v>
      </c>
      <c r="C16" s="1">
        <v>1920</v>
      </c>
      <c r="D16" s="1">
        <v>650</v>
      </c>
      <c r="E16" s="1">
        <v>2050</v>
      </c>
      <c r="F16" s="1">
        <v>6</v>
      </c>
      <c r="G16" s="1">
        <v>2000</v>
      </c>
      <c r="H16" s="1">
        <v>0</v>
      </c>
      <c r="I16" s="4">
        <f t="shared" si="0"/>
        <v>2.953846153846154</v>
      </c>
      <c r="J16" s="4">
        <f t="shared" si="1"/>
        <v>1.0416666666666667</v>
      </c>
    </row>
    <row r="17" spans="1:10" x14ac:dyDescent="0.25">
      <c r="A17" s="2">
        <v>45748</v>
      </c>
      <c r="B17" s="1" t="s">
        <v>8</v>
      </c>
      <c r="C17" s="1">
        <v>1980</v>
      </c>
      <c r="D17" s="1">
        <v>620</v>
      </c>
      <c r="E17" s="1">
        <v>2100</v>
      </c>
      <c r="F17" s="1">
        <v>7</v>
      </c>
      <c r="G17" s="1">
        <v>2080</v>
      </c>
      <c r="H17" s="1">
        <v>0</v>
      </c>
      <c r="I17" s="4">
        <f t="shared" si="0"/>
        <v>3.193548387096774</v>
      </c>
      <c r="J17" s="4">
        <f t="shared" si="1"/>
        <v>1.0505050505050506</v>
      </c>
    </row>
    <row r="18" spans="1:10" x14ac:dyDescent="0.25">
      <c r="A18" s="2">
        <v>45778</v>
      </c>
      <c r="B18" s="1" t="s">
        <v>8</v>
      </c>
      <c r="C18" s="1">
        <v>2050</v>
      </c>
      <c r="D18" s="1">
        <v>580</v>
      </c>
      <c r="E18" s="1">
        <v>2200</v>
      </c>
      <c r="F18" s="1">
        <v>6</v>
      </c>
      <c r="G18" s="1">
        <v>2160</v>
      </c>
      <c r="H18" s="1">
        <v>0</v>
      </c>
      <c r="I18" s="4">
        <f t="shared" si="0"/>
        <v>3.5344827586206895</v>
      </c>
      <c r="J18" s="4">
        <f t="shared" si="1"/>
        <v>1.0536585365853659</v>
      </c>
    </row>
    <row r="19" spans="1:10" x14ac:dyDescent="0.25">
      <c r="A19" s="2">
        <v>45809</v>
      </c>
      <c r="B19" s="1" t="s">
        <v>8</v>
      </c>
      <c r="C19" s="1">
        <v>2140</v>
      </c>
      <c r="D19" s="1">
        <v>540</v>
      </c>
      <c r="E19" s="1">
        <v>2300</v>
      </c>
      <c r="F19" s="1">
        <v>8</v>
      </c>
      <c r="G19" s="1">
        <v>2250</v>
      </c>
      <c r="H19" s="1">
        <v>0</v>
      </c>
      <c r="I19" s="4">
        <f t="shared" si="0"/>
        <v>3.9629629629629628</v>
      </c>
      <c r="J19" s="4">
        <f t="shared" si="1"/>
        <v>1.0514018691588785</v>
      </c>
    </row>
    <row r="20" spans="1:10" x14ac:dyDescent="0.25">
      <c r="A20" s="2">
        <v>45839</v>
      </c>
      <c r="B20" s="1" t="s">
        <v>8</v>
      </c>
      <c r="C20" s="1">
        <v>2200</v>
      </c>
      <c r="D20" s="1">
        <v>500</v>
      </c>
      <c r="E20" s="1">
        <v>2350</v>
      </c>
      <c r="F20" s="1">
        <v>7</v>
      </c>
      <c r="G20" s="1">
        <v>2300</v>
      </c>
      <c r="H20" s="1">
        <v>1</v>
      </c>
      <c r="I20" s="4">
        <f t="shared" si="0"/>
        <v>4.4000000000000004</v>
      </c>
      <c r="J20" s="4">
        <f t="shared" si="1"/>
        <v>1.0454545454545454</v>
      </c>
    </row>
    <row r="21" spans="1:10" x14ac:dyDescent="0.25">
      <c r="A21" s="2">
        <v>45870</v>
      </c>
      <c r="B21" s="1" t="s">
        <v>8</v>
      </c>
      <c r="C21" s="1">
        <v>2160</v>
      </c>
      <c r="D21" s="1">
        <v>520</v>
      </c>
      <c r="E21" s="1">
        <v>2300</v>
      </c>
      <c r="F21" s="1">
        <v>6</v>
      </c>
      <c r="G21" s="1">
        <v>2280</v>
      </c>
      <c r="H21" s="1">
        <v>0</v>
      </c>
      <c r="I21" s="4">
        <f t="shared" si="0"/>
        <v>4.1538461538461542</v>
      </c>
      <c r="J21" s="4">
        <f t="shared" si="1"/>
        <v>1.0555555555555556</v>
      </c>
    </row>
    <row r="22" spans="1:10" x14ac:dyDescent="0.25">
      <c r="A22" s="2">
        <v>45901</v>
      </c>
      <c r="B22" s="1" t="s">
        <v>8</v>
      </c>
      <c r="C22" s="1">
        <v>2110</v>
      </c>
      <c r="D22" s="1">
        <v>540</v>
      </c>
      <c r="E22" s="1">
        <v>2250</v>
      </c>
      <c r="F22" s="1">
        <v>5</v>
      </c>
      <c r="G22" s="1">
        <v>2200</v>
      </c>
      <c r="H22" s="1">
        <v>0</v>
      </c>
      <c r="I22" s="4">
        <f t="shared" si="0"/>
        <v>3.9074074074074074</v>
      </c>
      <c r="J22" s="4">
        <f t="shared" si="1"/>
        <v>1.0426540284360191</v>
      </c>
    </row>
    <row r="23" spans="1:10" x14ac:dyDescent="0.25">
      <c r="A23" s="2">
        <v>45931</v>
      </c>
      <c r="B23" s="1" t="s">
        <v>8</v>
      </c>
      <c r="C23" s="1">
        <v>2200</v>
      </c>
      <c r="D23" s="1">
        <v>500</v>
      </c>
      <c r="E23" s="1">
        <v>2350</v>
      </c>
      <c r="F23" s="1">
        <v>6</v>
      </c>
      <c r="G23" s="1">
        <v>2320</v>
      </c>
      <c r="H23" s="1">
        <v>0</v>
      </c>
      <c r="I23" s="4">
        <f t="shared" si="0"/>
        <v>4.4000000000000004</v>
      </c>
      <c r="J23" s="4">
        <f t="shared" si="1"/>
        <v>1.0545454545454545</v>
      </c>
    </row>
    <row r="24" spans="1:10" x14ac:dyDescent="0.25">
      <c r="A24" s="2">
        <v>45962</v>
      </c>
      <c r="B24" s="1" t="s">
        <v>8</v>
      </c>
      <c r="C24" s="1">
        <v>2360</v>
      </c>
      <c r="D24" s="1">
        <v>460</v>
      </c>
      <c r="E24" s="1">
        <v>2500</v>
      </c>
      <c r="F24" s="1">
        <v>8</v>
      </c>
      <c r="G24" s="1">
        <v>2420</v>
      </c>
      <c r="H24" s="1">
        <v>0</v>
      </c>
      <c r="I24" s="4">
        <f t="shared" si="0"/>
        <v>5.1304347826086953</v>
      </c>
      <c r="J24" s="4">
        <f t="shared" si="1"/>
        <v>1.0254237288135593</v>
      </c>
    </row>
    <row r="25" spans="1:10" x14ac:dyDescent="0.25">
      <c r="A25" s="2">
        <v>45992</v>
      </c>
      <c r="B25" s="1" t="s">
        <v>8</v>
      </c>
      <c r="C25" s="1">
        <v>2500</v>
      </c>
      <c r="D25" s="1">
        <v>400</v>
      </c>
      <c r="E25" s="1">
        <v>2600</v>
      </c>
      <c r="F25" s="1">
        <v>9</v>
      </c>
      <c r="G25" s="1">
        <v>2550</v>
      </c>
      <c r="H25" s="1">
        <v>1</v>
      </c>
      <c r="I25" s="4">
        <f t="shared" si="0"/>
        <v>6.25</v>
      </c>
      <c r="J25" s="4">
        <f t="shared" si="1"/>
        <v>1.02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2026-04-22T14:17:23Z</dcterms:created>
  <dcterms:modified xsi:type="dcterms:W3CDTF">2026-04-26T09:24:12Z</dcterms:modified>
</cp:coreProperties>
</file>